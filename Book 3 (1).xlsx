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66925"/>
  <xr:revisionPtr revIDLastSave="0" documentId="8_{364BD60F-A3F2-44F5-AFFC-A7DF5424979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  <sheet name="Planilha2" sheetId="2" r:id="rId2"/>
  </sheets>
  <definedNames>
    <definedName name="Anos">Planilha1!$D$18:$D$18</definedName>
    <definedName name="Dividendos">Planilha1!$D$21:$D$21</definedName>
    <definedName name="ivst_mensal">Planilha1!$D$17:$D$17</definedName>
    <definedName name="Rendimento_de_carteira">Planilha1!$D$13:$D$13</definedName>
    <definedName name="Salario">Planilha1!$D$12:$D$12</definedName>
    <definedName name="Sugest_invest">Planilha1!$D$14:$D$14</definedName>
    <definedName name="Total_acumulado">Planilha1!$D$20:$D$20</definedName>
    <definedName name="tx_rendimento_mensal">Planilha1!$D$19:$D$19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4" i="1" l="1"/>
  <c r="C25" i="1"/>
  <c r="C26" i="1"/>
  <c r="C27" i="1"/>
  <c r="C28" i="1"/>
  <c r="C31" i="1"/>
  <c r="C34" i="1"/>
  <c r="C35" i="1"/>
  <c r="C36" i="1"/>
  <c r="C37" i="1"/>
  <c r="C38" i="1"/>
  <c r="C39" i="1"/>
  <c r="D24" i="1"/>
  <c r="D34" i="1"/>
  <c r="D35" i="1"/>
  <c r="D36" i="1"/>
  <c r="D37" i="1"/>
  <c r="D38" i="1"/>
  <c r="D39" i="1"/>
  <c r="D20" i="1"/>
  <c r="D14" i="1"/>
  <c r="D28" i="1"/>
  <c r="D27" i="1"/>
  <c r="D26" i="1"/>
  <c r="D25" i="1"/>
  <c r="D21" i="1"/>
</calcChain>
</file>

<file path=xl/sharedStrings.xml><?xml version="1.0" encoding="utf-8"?>
<sst xmlns="http://schemas.openxmlformats.org/spreadsheetml/2006/main" count="88" uniqueCount="53">
  <si>
    <t>Configurações</t>
  </si>
  <si>
    <t>Salário</t>
  </si>
  <si>
    <t>Rendimento de carteira</t>
  </si>
  <si>
    <t>Sugestão de investimento (20% do salário)</t>
  </si>
  <si>
    <t>Investimento mensal</t>
  </si>
  <si>
    <t>Quanto investir por mês?</t>
  </si>
  <si>
    <t>Por quantos anos investir?</t>
  </si>
  <si>
    <t>Qual a taxa de rendimento mensal?</t>
  </si>
  <si>
    <t>Qual o patrimônio acumulado terei?</t>
  </si>
  <si>
    <t>Quanto de dividendos mensais?</t>
  </si>
  <si>
    <t>Quanto em:</t>
  </si>
  <si>
    <t>Patrimônio acumulado:</t>
  </si>
  <si>
    <t>Dividendos mensais:</t>
  </si>
  <si>
    <t>1 ano</t>
  </si>
  <si>
    <t xml:space="preserve">3 anos </t>
  </si>
  <si>
    <t>5 anos</t>
  </si>
  <si>
    <t xml:space="preserve">10 anos </t>
  </si>
  <si>
    <t>20 anos</t>
  </si>
  <si>
    <t>Selecione o perfil:</t>
  </si>
  <si>
    <t>Valor a ser investido por mês</t>
  </si>
  <si>
    <t>Conservador</t>
  </si>
  <si>
    <t>Tipo de FII</t>
  </si>
  <si>
    <t>Percentual sugerido</t>
  </si>
  <si>
    <t>Valores</t>
  </si>
  <si>
    <t>Papel</t>
  </si>
  <si>
    <t>Tijolo</t>
  </si>
  <si>
    <t>Hibridos</t>
  </si>
  <si>
    <t>FOFs</t>
  </si>
  <si>
    <t>Desenvolvimento</t>
  </si>
  <si>
    <t>Hotelarias</t>
  </si>
  <si>
    <t>Chave</t>
  </si>
  <si>
    <t>Perfil</t>
  </si>
  <si>
    <t>%</t>
  </si>
  <si>
    <t>Conservador-Papel</t>
  </si>
  <si>
    <t>Conservador-Tijolo</t>
  </si>
  <si>
    <t>Conservador-Hibridos</t>
  </si>
  <si>
    <t>Conservador-FOFs</t>
  </si>
  <si>
    <t>Conservador-Desenvolvimento</t>
  </si>
  <si>
    <t>Conservador-Hotelarias</t>
  </si>
  <si>
    <t>Moderado-Papel</t>
  </si>
  <si>
    <t>Moderado</t>
  </si>
  <si>
    <t>Moderado-Tijolo</t>
  </si>
  <si>
    <t>Moderado-Hibridos</t>
  </si>
  <si>
    <t>Moderado-FOFs</t>
  </si>
  <si>
    <t>Moderado-Desenvolvimento</t>
  </si>
  <si>
    <t>Moderado-Hotelarias</t>
  </si>
  <si>
    <t>Agressivo-Papel</t>
  </si>
  <si>
    <t>Agressivo</t>
  </si>
  <si>
    <t>Agressivo-Tijolo</t>
  </si>
  <si>
    <t>Agressivo-Hibridos</t>
  </si>
  <si>
    <t>Agressivo-FOFs</t>
  </si>
  <si>
    <t>Agressivo-Desenvolvimento</t>
  </si>
  <si>
    <t>Agressivo-Hotelarias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</si>
</sst>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9">
    <font>
      <sz val="11"/>
      <color theme="1"/>
      <name val="Calibri"/>
      <family val="2"/>
      <scheme val="minor"/>
    </font>
    <font>
      <sz val="24"/>
      <color theme="0"/>
      <name val="Corbel"/>
    </font>
    <font>
      <sz val="10"/>
      <color theme="0"/>
      <name val="Corbel"/>
    </font>
    <font>
      <sz val="12"/>
      <color theme="0"/>
      <name val="Corbel"/>
    </font>
    <font>
      <sz val="12"/>
      <color theme="0"/>
      <name val="Calibri"/>
      <family val="2"/>
      <scheme val="minor"/>
    </font>
    <font>
      <sz val="16"/>
      <color theme="0"/>
      <name val="Calibri Light"/>
      <scheme val="major"/>
    </font>
    <font>
      <sz val="12"/>
      <color theme="1"/>
      <name val="Calibri"/>
      <family val="2"/>
      <scheme val="minor"/>
    </font>
    <font>
      <sz val="12"/>
      <color theme="4" tint="-0.499984740745262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B615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FBD97"/>
        <bgColor indexed="64"/>
      </patternFill>
    </fill>
    <fill>
      <patternFill patternType="solid">
        <fgColor rgb="FF59D0E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thin">
        <color theme="2"/>
      </left>
      <right style="medium">
        <color theme="2"/>
      </right>
      <top style="thin">
        <color theme="2"/>
      </top>
      <bottom style="thin">
        <color theme="2"/>
      </bottom>
      <diagonal/>
    </border>
    <border>
      <left style="medium">
        <color theme="2"/>
      </left>
      <right style="thin">
        <color theme="2"/>
      </right>
      <top style="thin">
        <color theme="2"/>
      </top>
      <bottom style="medium">
        <color theme="2"/>
      </bottom>
      <diagonal/>
    </border>
    <border>
      <left style="thin">
        <color theme="2"/>
      </left>
      <right style="medium">
        <color theme="2"/>
      </right>
      <top style="thin">
        <color theme="2"/>
      </top>
      <bottom style="medium">
        <color theme="2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thin">
        <color theme="2"/>
      </left>
      <right style="medium">
        <color theme="2"/>
      </right>
      <top style="medium">
        <color theme="2"/>
      </top>
      <bottom style="thin">
        <color theme="2"/>
      </bottom>
      <diagonal/>
    </border>
    <border>
      <left style="medium">
        <color theme="2"/>
      </left>
      <right style="thin">
        <color theme="2"/>
      </right>
      <top style="medium">
        <color theme="2"/>
      </top>
      <bottom style="medium">
        <color theme="2"/>
      </bottom>
      <diagonal/>
    </border>
    <border>
      <left/>
      <right/>
      <top style="medium">
        <color theme="1"/>
      </top>
      <bottom/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medium">
        <color theme="2"/>
      </left>
      <right/>
      <top style="thin">
        <color theme="2"/>
      </top>
      <bottom style="medium">
        <color theme="2"/>
      </bottom>
      <diagonal/>
    </border>
    <border>
      <left/>
      <right style="medium">
        <color theme="2"/>
      </right>
      <top style="thin">
        <color theme="2"/>
      </top>
      <bottom style="medium">
        <color theme="2"/>
      </bottom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medium">
        <color theme="2"/>
      </bottom>
      <diagonal/>
    </border>
    <border>
      <left/>
      <right/>
      <top/>
      <bottom style="medium">
        <color theme="1"/>
      </bottom>
      <diagonal/>
    </border>
    <border>
      <left style="medium">
        <color theme="2"/>
      </left>
      <right/>
      <top style="medium">
        <color theme="2"/>
      </top>
      <bottom style="medium">
        <color theme="2"/>
      </bottom>
      <diagonal/>
    </border>
    <border>
      <left/>
      <right style="medium">
        <color theme="2"/>
      </right>
      <top style="medium">
        <color theme="2"/>
      </top>
      <bottom style="medium">
        <color theme="2"/>
      </bottom>
      <diagonal/>
    </border>
    <border>
      <left style="medium">
        <color theme="1"/>
      </left>
      <right/>
      <top style="medium">
        <color theme="1"/>
      </top>
      <bottom style="medium">
        <color theme="2"/>
      </bottom>
      <diagonal/>
    </border>
    <border>
      <left/>
      <right/>
      <top style="medium">
        <color theme="1"/>
      </top>
      <bottom style="medium">
        <color theme="2"/>
      </bottom>
      <diagonal/>
    </border>
  </borders>
  <cellStyleXfs count="1">
    <xf numFmtId="0" fontId="0" fillId="0" borderId="0"/>
  </cellStyleXfs>
  <cellXfs count="45">
    <xf numFmtId="0" fontId="0" fillId="0" borderId="0" xfId="0"/>
    <xf numFmtId="8" fontId="0" fillId="3" borderId="4" xfId="0" applyNumberFormat="1" applyFont="1" applyFill="1" applyBorder="1"/>
    <xf numFmtId="0" fontId="3" fillId="2" borderId="5" xfId="0" applyFont="1" applyFill="1" applyBorder="1"/>
    <xf numFmtId="0" fontId="0" fillId="0" borderId="0" xfId="0" applyBorder="1"/>
    <xf numFmtId="0" fontId="6" fillId="3" borderId="3" xfId="0" applyFont="1" applyFill="1" applyBorder="1"/>
    <xf numFmtId="0" fontId="6" fillId="3" borderId="7" xfId="0" applyFont="1" applyFill="1" applyBorder="1"/>
    <xf numFmtId="0" fontId="5" fillId="4" borderId="1" xfId="0" applyFont="1" applyFill="1" applyBorder="1" applyAlignment="1">
      <alignment vertical="center" wrapText="1"/>
    </xf>
    <xf numFmtId="8" fontId="6" fillId="3" borderId="9" xfId="0" applyNumberFormat="1" applyFont="1" applyFill="1" applyBorder="1" applyAlignment="1">
      <alignment horizontal="left"/>
    </xf>
    <xf numFmtId="0" fontId="2" fillId="2" borderId="1" xfId="0" applyFont="1" applyFill="1" applyBorder="1"/>
    <xf numFmtId="0" fontId="1" fillId="2" borderId="1" xfId="0" applyFont="1" applyFill="1" applyBorder="1" applyAlignment="1"/>
    <xf numFmtId="0" fontId="4" fillId="2" borderId="8" xfId="0" applyFont="1" applyFill="1" applyBorder="1" applyAlignment="1">
      <alignment horizontal="left"/>
    </xf>
    <xf numFmtId="0" fontId="7" fillId="5" borderId="0" xfId="0" applyFont="1" applyFill="1"/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8" fontId="0" fillId="3" borderId="6" xfId="0" applyNumberFormat="1" applyFont="1" applyFill="1" applyBorder="1" applyAlignment="1">
      <alignment horizontal="left"/>
    </xf>
    <xf numFmtId="8" fontId="0" fillId="3" borderId="2" xfId="0" applyNumberFormat="1" applyFont="1" applyFill="1" applyBorder="1" applyAlignment="1">
      <alignment horizontal="left"/>
    </xf>
    <xf numFmtId="8" fontId="0" fillId="3" borderId="4" xfId="0" applyNumberFormat="1" applyFont="1" applyFill="1" applyBorder="1" applyAlignment="1">
      <alignment horizontal="left"/>
    </xf>
    <xf numFmtId="164" fontId="0" fillId="0" borderId="9" xfId="0" applyNumberFormat="1" applyBorder="1" applyAlignment="1">
      <alignment horizontal="left"/>
    </xf>
    <xf numFmtId="10" fontId="0" fillId="0" borderId="9" xfId="0" applyNumberFormat="1" applyBorder="1" applyAlignment="1">
      <alignment horizontal="left"/>
    </xf>
    <xf numFmtId="164" fontId="0" fillId="0" borderId="9" xfId="0" applyNumberFormat="1" applyFont="1" applyBorder="1" applyAlignment="1">
      <alignment horizontal="left"/>
    </xf>
    <xf numFmtId="1" fontId="0" fillId="0" borderId="9" xfId="0" applyNumberFormat="1" applyFont="1" applyBorder="1" applyAlignment="1">
      <alignment horizontal="left"/>
    </xf>
    <xf numFmtId="10" fontId="0" fillId="0" borderId="9" xfId="0" applyNumberFormat="1" applyFont="1" applyBorder="1" applyAlignment="1">
      <alignment horizontal="left"/>
    </xf>
    <xf numFmtId="8" fontId="0" fillId="3" borderId="9" xfId="0" applyNumberFormat="1" applyFont="1" applyFill="1" applyBorder="1" applyAlignment="1">
      <alignment horizontal="left"/>
    </xf>
    <xf numFmtId="10" fontId="0" fillId="3" borderId="4" xfId="0" applyNumberFormat="1" applyFont="1" applyFill="1" applyBorder="1" applyAlignment="1">
      <alignment horizontal="left"/>
    </xf>
    <xf numFmtId="8" fontId="0" fillId="3" borderId="11" xfId="0" applyNumberFormat="1" applyFont="1" applyFill="1" applyBorder="1" applyAlignment="1">
      <alignment horizontal="center"/>
    </xf>
    <xf numFmtId="10" fontId="0" fillId="0" borderId="0" xfId="0" applyNumberFormat="1"/>
    <xf numFmtId="8" fontId="0" fillId="6" borderId="10" xfId="0" applyNumberFormat="1" applyFont="1" applyFill="1" applyBorder="1" applyAlignment="1"/>
    <xf numFmtId="0" fontId="7" fillId="5" borderId="12" xfId="0" applyFont="1" applyFill="1" applyBorder="1" applyAlignment="1">
      <alignment horizontal="center"/>
    </xf>
    <xf numFmtId="8" fontId="0" fillId="3" borderId="13" xfId="0" applyNumberFormat="1" applyFont="1" applyFill="1" applyBorder="1" applyAlignment="1">
      <alignment horizontal="center"/>
    </xf>
    <xf numFmtId="0" fontId="8" fillId="7" borderId="0" xfId="0" applyFont="1" applyFill="1" applyAlignment="1">
      <alignment horizontal="left"/>
    </xf>
    <xf numFmtId="10" fontId="8" fillId="7" borderId="0" xfId="0" applyNumberFormat="1" applyFont="1" applyFill="1" applyAlignment="1">
      <alignment horizontal="left"/>
    </xf>
    <xf numFmtId="0" fontId="0" fillId="0" borderId="0" xfId="0" applyBorder="1" applyAlignment="1">
      <alignment horizontal="left"/>
    </xf>
    <xf numFmtId="9" fontId="0" fillId="0" borderId="0" xfId="0" applyNumberFormat="1" applyBorder="1" applyAlignment="1">
      <alignment horizontal="left"/>
    </xf>
    <xf numFmtId="0" fontId="0" fillId="0" borderId="14" xfId="0" applyBorder="1" applyAlignment="1">
      <alignment horizontal="left"/>
    </xf>
    <xf numFmtId="9" fontId="0" fillId="0" borderId="14" xfId="0" applyNumberFormat="1" applyBorder="1" applyAlignment="1">
      <alignment horizontal="left"/>
    </xf>
    <xf numFmtId="0" fontId="6" fillId="3" borderId="15" xfId="0" applyFont="1" applyFill="1" applyBorder="1" applyAlignment="1">
      <alignment horizontal="left"/>
    </xf>
    <xf numFmtId="0" fontId="6" fillId="3" borderId="16" xfId="0" applyFont="1" applyFill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1" fillId="2" borderId="17" xfId="0" applyFont="1" applyFill="1" applyBorder="1" applyAlignment="1">
      <alignment horizontal="left"/>
    </xf>
    <xf numFmtId="0" fontId="1" fillId="2" borderId="18" xfId="0" applyFont="1" applyFill="1" applyBorder="1" applyAlignment="1">
      <alignment horizontal="left"/>
    </xf>
    <xf numFmtId="8" fontId="6" fillId="3" borderId="15" xfId="0" applyNumberFormat="1" applyFont="1" applyFill="1" applyBorder="1" applyAlignment="1">
      <alignment horizontal="left"/>
    </xf>
    <xf numFmtId="8" fontId="6" fillId="3" borderId="16" xfId="0" applyNumberFormat="1" applyFont="1" applyFill="1" applyBorder="1" applyAlignment="1">
      <alignment horizontal="left"/>
    </xf>
    <xf numFmtId="0" fontId="5" fillId="4" borderId="17" xfId="0" applyFont="1" applyFill="1" applyBorder="1" applyAlignment="1">
      <alignment horizontal="left" vertical="center" wrapText="1"/>
    </xf>
    <xf numFmtId="0" fontId="5" fillId="4" borderId="18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59D0E3"/>
      <color rgb="FF1B6152"/>
      <color rgb="FF2FBD97"/>
      <color rgb="FF2ADEAE"/>
      <color rgb="FF1F6B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Planilha1!$C$33</c:f>
              <c:strCache>
                <c:ptCount val="1"/>
                <c:pt idx="0">
                  <c:v>Percentual sugerido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Planilha1!$C$34:$C$39</c:f>
              <c:numCache>
                <c:formatCode>0.00%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C6-4E83-B520-F95AF423F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963144"/>
        <c:axId val="79973896"/>
      </c:barChart>
      <c:catAx>
        <c:axId val="39963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73896"/>
        <c:crosses val="autoZero"/>
        <c:auto val="1"/>
        <c:lblAlgn val="ctr"/>
        <c:lblOffset val="100"/>
        <c:noMultiLvlLbl val="0"/>
      </c:catAx>
      <c:valAx>
        <c:axId val="79973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63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Planilha1!$C$33</c:f>
              <c:strCache>
                <c:ptCount val="1"/>
                <c:pt idx="0">
                  <c:v>Percentual sugerido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Planilha1!$C$34:$C$39</c:f>
              <c:numCache>
                <c:formatCode>0.00%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85-4DB0-A902-0FF89F43C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848968"/>
        <c:axId val="39212040"/>
      </c:barChart>
      <c:catAx>
        <c:axId val="39848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12040"/>
        <c:crosses val="autoZero"/>
        <c:auto val="1"/>
        <c:lblAlgn val="ctr"/>
        <c:lblOffset val="100"/>
        <c:noMultiLvlLbl val="0"/>
      </c:catAx>
      <c:valAx>
        <c:axId val="39212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48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Planilha1!$C$33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Planilha1!$B$34:$B$39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Planilha1!$C$34:$C$39</c:f>
              <c:numCache>
                <c:formatCode>0.00%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57-4A80-8A86-E246680A1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Planilha1!$C$33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Planilha1!$B$34:$B$39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Planilha1!$C$34:$C$39</c:f>
              <c:numCache>
                <c:formatCode>0.00%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E7-4A67-B71D-751E5B0AE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1</xdr:row>
      <xdr:rowOff>57150</xdr:rowOff>
    </xdr:from>
    <xdr:to>
      <xdr:col>4</xdr:col>
      <xdr:colOff>19050</xdr:colOff>
      <xdr:row>8</xdr:row>
      <xdr:rowOff>180975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A0D3DDC-D6FB-8F7D-E433-066336F91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1608" t="32117" r="36994" b="49635"/>
        <a:stretch>
          <a:fillRect/>
        </a:stretch>
      </xdr:blipFill>
      <xdr:spPr>
        <a:xfrm>
          <a:off x="600075" y="247650"/>
          <a:ext cx="6696075" cy="14573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27</xdr:row>
      <xdr:rowOff>66675</xdr:rowOff>
    </xdr:from>
    <xdr:to>
      <xdr:col>16384</xdr:col>
      <xdr:colOff>4572000</xdr:colOff>
      <xdr:row>41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592BF76-4CA4-A97D-0392-140794CBEAF4}"/>
            </a:ext>
            <a:ext uri="{147F2762-F138-4A5C-976F-8EAC2B608ADB}">
              <a16:predDERef xmlns:a16="http://schemas.microsoft.com/office/drawing/2014/main" pred="{DA0D3DDC-D6FB-8F7D-E433-066336F915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27</xdr:row>
      <xdr:rowOff>66675</xdr:rowOff>
    </xdr:from>
    <xdr:to>
      <xdr:col>16384</xdr:col>
      <xdr:colOff>4572000</xdr:colOff>
      <xdr:row>41</xdr:row>
      <xdr:rowOff>114300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CF4C361-EF10-23B8-6759-FC1E89F298C2}"/>
            </a:ext>
            <a:ext uri="{147F2762-F138-4A5C-976F-8EAC2B608ADB}">
              <a16:predDERef xmlns:a16="http://schemas.microsoft.com/office/drawing/2014/main" pred="{C592BF76-4CA4-A97D-0392-140794CBEA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27</xdr:row>
      <xdr:rowOff>66675</xdr:rowOff>
    </xdr:from>
    <xdr:to>
      <xdr:col>16384</xdr:col>
      <xdr:colOff>4572000</xdr:colOff>
      <xdr:row>41</xdr:row>
      <xdr:rowOff>114300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827F73C-82B8-9E3F-C470-6233FAFF21B6}"/>
            </a:ext>
            <a:ext uri="{147F2762-F138-4A5C-976F-8EAC2B608ADB}">
              <a16:predDERef xmlns:a16="http://schemas.microsoft.com/office/drawing/2014/main" pred="{1CF4C361-EF10-23B8-6759-FC1E89F29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27</xdr:row>
      <xdr:rowOff>66675</xdr:rowOff>
    </xdr:from>
    <xdr:to>
      <xdr:col>16384</xdr:col>
      <xdr:colOff>4572000</xdr:colOff>
      <xdr:row>41</xdr:row>
      <xdr:rowOff>114300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3737EB6-1C17-6708-9EB1-17A771031BF0}"/>
            </a:ext>
            <a:ext uri="{147F2762-F138-4A5C-976F-8EAC2B608ADB}">
              <a16:predDERef xmlns:a16="http://schemas.microsoft.com/office/drawing/2014/main" pred="{8827F73C-82B8-9E3F-C470-6233FAFF21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16384</xdr:col>
      <xdr:colOff>1704975</xdr:colOff>
      <xdr:row>8</xdr:row>
      <xdr:rowOff>85725</xdr:rowOff>
    </xdr:from>
    <xdr:to>
      <xdr:col>16384</xdr:col>
      <xdr:colOff>2724150</xdr:colOff>
      <xdr:row>24</xdr:row>
      <xdr:rowOff>171450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428538E-193B-A022-E5FC-4A55FDCEB434}"/>
            </a:ext>
            <a:ext uri="{147F2762-F138-4A5C-976F-8EAC2B608ADB}">
              <a16:predDERef xmlns:a16="http://schemas.microsoft.com/office/drawing/2014/main" pred="{63737EB6-1C17-6708-9EB1-17A771031B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1:K39"/>
  <sheetViews>
    <sheetView showGridLines="0" showRowColHeaders="0" tabSelected="1" topLeftCell="A11" workbookViewId="0">
      <selection activeCell="C24" sqref="C24"/>
    </sheetView>
  </sheetViews>
  <sheetFormatPr defaultColWidth="0" defaultRowHeight="15"/>
  <cols>
    <col min="1" max="1" width="9.140625" customWidth="1"/>
    <col min="2" max="2" width="44.7109375" customWidth="1"/>
    <col min="3" max="3" width="38.28515625" customWidth="1"/>
    <col min="4" max="4" width="17" customWidth="1"/>
    <col min="5" max="5" width="8" customWidth="1"/>
    <col min="6" max="6" width="23.85546875" hidden="1" customWidth="1"/>
    <col min="7" max="7" width="11.42578125" hidden="1" customWidth="1"/>
    <col min="8" max="11" width="9.140625" hidden="1" customWidth="1"/>
  </cols>
  <sheetData>
    <row r="11" spans="2:4" ht="21" customHeight="1">
      <c r="B11" s="43" t="s">
        <v>0</v>
      </c>
      <c r="C11" s="44"/>
      <c r="D11" s="6"/>
    </row>
    <row r="12" spans="2:4" ht="15.75">
      <c r="B12" s="41" t="s">
        <v>1</v>
      </c>
      <c r="C12" s="42"/>
      <c r="D12" s="17">
        <v>2000</v>
      </c>
    </row>
    <row r="13" spans="2:4" ht="15.75">
      <c r="B13" s="41" t="s">
        <v>2</v>
      </c>
      <c r="C13" s="42"/>
      <c r="D13" s="18">
        <v>0.01</v>
      </c>
    </row>
    <row r="14" spans="2:4" ht="15.75">
      <c r="B14" s="41" t="s">
        <v>3</v>
      </c>
      <c r="C14" s="42"/>
      <c r="D14" s="7">
        <f>D12*20%</f>
        <v>400</v>
      </c>
    </row>
    <row r="16" spans="2:4" ht="31.5">
      <c r="B16" s="39" t="s">
        <v>4</v>
      </c>
      <c r="C16" s="40"/>
      <c r="D16" s="9"/>
    </row>
    <row r="17" spans="2:7" ht="15" customHeight="1">
      <c r="B17" s="37" t="s">
        <v>5</v>
      </c>
      <c r="C17" s="38"/>
      <c r="D17" s="19">
        <v>320</v>
      </c>
    </row>
    <row r="18" spans="2:7" ht="14.25" customHeight="1">
      <c r="B18" s="37" t="s">
        <v>6</v>
      </c>
      <c r="C18" s="38"/>
      <c r="D18" s="20">
        <v>10</v>
      </c>
    </row>
    <row r="19" spans="2:7" ht="15.75">
      <c r="B19" s="37" t="s">
        <v>7</v>
      </c>
      <c r="C19" s="38"/>
      <c r="D19" s="21">
        <v>1.0789999999999999E-2</v>
      </c>
    </row>
    <row r="20" spans="2:7" ht="16.5" customHeight="1">
      <c r="B20" s="35" t="s">
        <v>8</v>
      </c>
      <c r="C20" s="36"/>
      <c r="D20" s="22">
        <f>FV(D19,D18*12,D17)*-1</f>
        <v>77850.948009655098</v>
      </c>
    </row>
    <row r="21" spans="2:7" ht="15" customHeight="1">
      <c r="B21" s="35" t="s">
        <v>9</v>
      </c>
      <c r="C21" s="36"/>
      <c r="D21" s="22">
        <f>D20*$D$13</f>
        <v>778.50948009655099</v>
      </c>
    </row>
    <row r="22" spans="2:7">
      <c r="G22" s="3"/>
    </row>
    <row r="23" spans="2:7" ht="15.75">
      <c r="B23" s="2" t="s">
        <v>10</v>
      </c>
      <c r="C23" s="10" t="s">
        <v>11</v>
      </c>
      <c r="D23" s="8" t="s">
        <v>12</v>
      </c>
    </row>
    <row r="24" spans="2:7" ht="15.75">
      <c r="B24" s="5" t="s">
        <v>13</v>
      </c>
      <c r="C24" s="14">
        <f>FV($D$19,1*12,$D$17)*-1</f>
        <v>4076.283520178099</v>
      </c>
      <c r="D24" s="14">
        <f>C24*$D$13</f>
        <v>40.762835201780995</v>
      </c>
    </row>
    <row r="25" spans="2:7" ht="15.75">
      <c r="B25" s="4" t="s">
        <v>14</v>
      </c>
      <c r="C25" s="15">
        <f>FV($D$19,3*12,$D$17)*-1</f>
        <v>13986.679687367076</v>
      </c>
      <c r="D25" s="15">
        <f>C25*$D$13</f>
        <v>139.86679687367075</v>
      </c>
    </row>
    <row r="26" spans="2:7" ht="15.75">
      <c r="B26" s="4" t="s">
        <v>15</v>
      </c>
      <c r="C26" s="15">
        <f>FV($D$19,5*12,$D$17)*-1</f>
        <v>26808.612479516047</v>
      </c>
      <c r="D26" s="15">
        <f>C26*$D$13</f>
        <v>268.08612479516046</v>
      </c>
    </row>
    <row r="27" spans="2:7" ht="15.75">
      <c r="B27" s="4" t="s">
        <v>16</v>
      </c>
      <c r="C27" s="15">
        <f>FV($D$19,10*12,$D$17)*-1</f>
        <v>77850.948009655098</v>
      </c>
      <c r="D27" s="15">
        <f>C27*$D$13</f>
        <v>778.50948009655099</v>
      </c>
    </row>
    <row r="28" spans="2:7" ht="15.75">
      <c r="B28" s="4" t="s">
        <v>17</v>
      </c>
      <c r="C28" s="16">
        <f>FV($D$19,20*12,$D$17)*-1</f>
        <v>360063.48803106579</v>
      </c>
      <c r="D28" s="16">
        <f>C28*$D$13</f>
        <v>3600.634880310658</v>
      </c>
    </row>
    <row r="30" spans="2:7" ht="15.75">
      <c r="B30" s="11" t="s">
        <v>18</v>
      </c>
      <c r="C30" s="27" t="s">
        <v>19</v>
      </c>
      <c r="D30" s="27"/>
    </row>
    <row r="31" spans="2:7">
      <c r="B31" s="26" t="s">
        <v>20</v>
      </c>
      <c r="C31" s="28">
        <f>D17</f>
        <v>320</v>
      </c>
      <c r="D31" s="24"/>
    </row>
    <row r="33" spans="2:4" ht="15.75">
      <c r="B33" s="11" t="s">
        <v>21</v>
      </c>
      <c r="C33" s="11" t="s">
        <v>22</v>
      </c>
      <c r="D33" s="11" t="s">
        <v>23</v>
      </c>
    </row>
    <row r="34" spans="2:4">
      <c r="B34" s="1" t="s">
        <v>24</v>
      </c>
      <c r="C34" s="23">
        <f>VLOOKUP($B$31&amp;"-"&amp;B34,Planilha2!$A:$D,4,FALSE)</f>
        <v>0.3</v>
      </c>
      <c r="D34" s="16">
        <f>$C$31*C34</f>
        <v>96</v>
      </c>
    </row>
    <row r="35" spans="2:4">
      <c r="B35" s="1" t="s">
        <v>25</v>
      </c>
      <c r="C35" s="23">
        <f>VLOOKUP($B$31&amp;"-"&amp;B35,Planilha2!$A:$D,4,FALSE)</f>
        <v>0.5</v>
      </c>
      <c r="D35" s="16">
        <f>$C$31*C35</f>
        <v>160</v>
      </c>
    </row>
    <row r="36" spans="2:4">
      <c r="B36" s="1" t="s">
        <v>26</v>
      </c>
      <c r="C36" s="23">
        <f>VLOOKUP($B$31&amp;"-"&amp;B36,Planilha2!$A:$D,4,FALSE)</f>
        <v>0.1</v>
      </c>
      <c r="D36" s="16">
        <f>$C$31*C36</f>
        <v>32</v>
      </c>
    </row>
    <row r="37" spans="2:4">
      <c r="B37" s="1" t="s">
        <v>27</v>
      </c>
      <c r="C37" s="23">
        <f>VLOOKUP($B$31&amp;"-"&amp;B37,Planilha2!$A:$D,4,FALSE)</f>
        <v>0.1</v>
      </c>
      <c r="D37" s="16">
        <f>$C$31*C37</f>
        <v>32</v>
      </c>
    </row>
    <row r="38" spans="2:4">
      <c r="B38" s="1" t="s">
        <v>28</v>
      </c>
      <c r="C38" s="23">
        <f>VLOOKUP($B$31&amp;"-"&amp;B38,Planilha2!$A:$D,4,FALSE)</f>
        <v>0</v>
      </c>
      <c r="D38" s="16">
        <f>$C$31*C38</f>
        <v>0</v>
      </c>
    </row>
    <row r="39" spans="2:4">
      <c r="B39" s="1" t="s">
        <v>29</v>
      </c>
      <c r="C39" s="23">
        <f>VLOOKUP($B$31&amp;"-"&amp;B39,Planilha2!$A:$D,4,FALSE)</f>
        <v>0</v>
      </c>
      <c r="D39" s="16">
        <f>$C$31*C39</f>
        <v>0</v>
      </c>
    </row>
  </sheetData>
  <mergeCells count="12">
    <mergeCell ref="C31:D31"/>
    <mergeCell ref="C30:D30"/>
    <mergeCell ref="B21:C21"/>
    <mergeCell ref="B12:C12"/>
    <mergeCell ref="B13:C13"/>
    <mergeCell ref="B14:C14"/>
    <mergeCell ref="B11:C11"/>
    <mergeCell ref="B16:C16"/>
    <mergeCell ref="B17:C17"/>
    <mergeCell ref="B18:C18"/>
    <mergeCell ref="B19:C19"/>
    <mergeCell ref="B20:C20"/>
  </mergeCells>
  <dataValidations count="1">
    <dataValidation type="list" allowBlank="1" showInputMessage="1" showErrorMessage="1" errorTitle="Perfil indisponível" error="Selecione um perfil válido" promptTitle="Insira seu perfil" prompt="Selecione um dos perfis disponíveis" sqref="B31" xr:uid="{8116EDF8-90B1-4A2D-A5DF-0683EF4883DB}">
      <formula1>"Conservador, Moderado, 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0253C-68BD-40FA-9E66-2FF95404B018}">
  <dimension ref="A1:G19"/>
  <sheetViews>
    <sheetView showGridLines="0" workbookViewId="0">
      <selection activeCell="F21" sqref="F21"/>
    </sheetView>
  </sheetViews>
  <sheetFormatPr defaultRowHeight="15"/>
  <cols>
    <col min="1" max="1" width="28.5703125" bestFit="1" customWidth="1"/>
    <col min="2" max="2" width="16.5703125" bestFit="1" customWidth="1"/>
    <col min="3" max="3" width="12.140625" bestFit="1" customWidth="1"/>
    <col min="4" max="4" width="7.5703125" bestFit="1" customWidth="1"/>
    <col min="7" max="7" width="18.5703125" bestFit="1" customWidth="1"/>
  </cols>
  <sheetData>
    <row r="1" spans="1:7">
      <c r="A1" s="29" t="s">
        <v>30</v>
      </c>
      <c r="B1" s="29" t="s">
        <v>21</v>
      </c>
      <c r="C1" s="29" t="s">
        <v>31</v>
      </c>
      <c r="D1" s="30" t="s">
        <v>32</v>
      </c>
    </row>
    <row r="2" spans="1:7">
      <c r="A2" s="31" t="s">
        <v>33</v>
      </c>
      <c r="B2" s="31" t="s">
        <v>24</v>
      </c>
      <c r="C2" s="31" t="s">
        <v>20</v>
      </c>
      <c r="D2" s="32">
        <v>0.3</v>
      </c>
    </row>
    <row r="3" spans="1:7">
      <c r="A3" s="31" t="s">
        <v>34</v>
      </c>
      <c r="B3" s="31" t="s">
        <v>25</v>
      </c>
      <c r="C3" s="31" t="s">
        <v>20</v>
      </c>
      <c r="D3" s="32">
        <v>0.5</v>
      </c>
      <c r="G3" s="25"/>
    </row>
    <row r="4" spans="1:7">
      <c r="A4" s="31" t="s">
        <v>35</v>
      </c>
      <c r="B4" s="31" t="s">
        <v>26</v>
      </c>
      <c r="C4" s="31" t="s">
        <v>20</v>
      </c>
      <c r="D4" s="32">
        <v>0.1</v>
      </c>
    </row>
    <row r="5" spans="1:7">
      <c r="A5" s="31" t="s">
        <v>36</v>
      </c>
      <c r="B5" s="31" t="s">
        <v>27</v>
      </c>
      <c r="C5" s="31" t="s">
        <v>20</v>
      </c>
      <c r="D5" s="32">
        <v>0.1</v>
      </c>
    </row>
    <row r="6" spans="1:7">
      <c r="A6" s="31" t="s">
        <v>37</v>
      </c>
      <c r="B6" s="31" t="s">
        <v>28</v>
      </c>
      <c r="C6" s="31" t="s">
        <v>20</v>
      </c>
      <c r="D6" s="32">
        <v>0</v>
      </c>
    </row>
    <row r="7" spans="1:7">
      <c r="A7" s="33" t="s">
        <v>38</v>
      </c>
      <c r="B7" s="33" t="s">
        <v>29</v>
      </c>
      <c r="C7" s="33" t="s">
        <v>20</v>
      </c>
      <c r="D7" s="34">
        <v>0</v>
      </c>
    </row>
    <row r="8" spans="1:7">
      <c r="A8" s="31" t="s">
        <v>39</v>
      </c>
      <c r="B8" s="31" t="s">
        <v>24</v>
      </c>
      <c r="C8" s="31" t="s">
        <v>40</v>
      </c>
      <c r="D8" s="32">
        <v>0.32</v>
      </c>
    </row>
    <row r="9" spans="1:7">
      <c r="A9" s="31" t="s">
        <v>41</v>
      </c>
      <c r="B9" s="31" t="s">
        <v>25</v>
      </c>
      <c r="C9" s="31" t="s">
        <v>40</v>
      </c>
      <c r="D9" s="32">
        <v>0.35</v>
      </c>
    </row>
    <row r="10" spans="1:7">
      <c r="A10" s="31" t="s">
        <v>42</v>
      </c>
      <c r="B10" s="31" t="s">
        <v>26</v>
      </c>
      <c r="C10" s="31" t="s">
        <v>40</v>
      </c>
      <c r="D10" s="32">
        <v>0.08</v>
      </c>
    </row>
    <row r="11" spans="1:7">
      <c r="A11" s="31" t="s">
        <v>43</v>
      </c>
      <c r="B11" s="31" t="s">
        <v>27</v>
      </c>
      <c r="C11" s="31" t="s">
        <v>40</v>
      </c>
      <c r="D11" s="32">
        <v>0.05</v>
      </c>
      <c r="G11" s="12"/>
    </row>
    <row r="12" spans="1:7">
      <c r="A12" s="31" t="s">
        <v>44</v>
      </c>
      <c r="B12" s="31" t="s">
        <v>28</v>
      </c>
      <c r="C12" s="31" t="s">
        <v>40</v>
      </c>
      <c r="D12" s="32">
        <v>0.1</v>
      </c>
    </row>
    <row r="13" spans="1:7">
      <c r="A13" s="33" t="s">
        <v>45</v>
      </c>
      <c r="B13" s="33" t="s">
        <v>29</v>
      </c>
      <c r="C13" s="33" t="s">
        <v>40</v>
      </c>
      <c r="D13" s="34">
        <v>0.1</v>
      </c>
    </row>
    <row r="14" spans="1:7">
      <c r="A14" s="12" t="s">
        <v>46</v>
      </c>
      <c r="B14" s="12" t="s">
        <v>24</v>
      </c>
      <c r="C14" s="12" t="s">
        <v>47</v>
      </c>
      <c r="D14" s="13">
        <v>0.5</v>
      </c>
    </row>
    <row r="15" spans="1:7">
      <c r="A15" s="12" t="s">
        <v>48</v>
      </c>
      <c r="B15" s="12" t="s">
        <v>25</v>
      </c>
      <c r="C15" s="12" t="s">
        <v>47</v>
      </c>
      <c r="D15" s="13">
        <v>0.1</v>
      </c>
    </row>
    <row r="16" spans="1:7">
      <c r="A16" s="12" t="s">
        <v>49</v>
      </c>
      <c r="B16" s="12" t="s">
        <v>26</v>
      </c>
      <c r="C16" s="12" t="s">
        <v>47</v>
      </c>
      <c r="D16" s="13">
        <v>0.05</v>
      </c>
    </row>
    <row r="17" spans="1:4">
      <c r="A17" s="12" t="s">
        <v>50</v>
      </c>
      <c r="B17" s="12" t="s">
        <v>27</v>
      </c>
      <c r="C17" s="12" t="s">
        <v>47</v>
      </c>
      <c r="D17" s="13">
        <v>0.05</v>
      </c>
    </row>
    <row r="18" spans="1:4">
      <c r="A18" s="12" t="s">
        <v>51</v>
      </c>
      <c r="B18" s="12" t="s">
        <v>28</v>
      </c>
      <c r="C18" s="12" t="s">
        <v>47</v>
      </c>
      <c r="D18" s="13">
        <v>0.2</v>
      </c>
    </row>
    <row r="19" spans="1:4">
      <c r="A19" s="12" t="s">
        <v>52</v>
      </c>
      <c r="B19" s="12" t="s">
        <v>29</v>
      </c>
      <c r="C19" s="12" t="s">
        <v>47</v>
      </c>
      <c r="D19" s="13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2026-10-04T13:30:13Z</dcterms:created>
  <dcterms:modified xsi:type="dcterms:W3CDTF">2026-10-04T20:44:08Z</dcterms:modified>
  <cp:category/>
  <cp:contentStatus/>
</cp:coreProperties>
</file>